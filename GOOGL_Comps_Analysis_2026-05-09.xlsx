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s Analysis" sheetId="1" state="visible" r:id="rId1"/>
  </sheets>
  <definedNames>
    <definedName name="_xlnm.Print_Titles" localSheetId="0">'Comps Analysis'!$1:$6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x"/>
    <numFmt numFmtId="166" formatCode="0.0&quot;x&quot;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FFFFFF"/>
      <sz val="9"/>
    </font>
    <font>
      <name val="Calibri"/>
      <i val="1"/>
      <color rgb="00FFFFFF"/>
      <sz val="9"/>
    </font>
    <font>
      <name val="Calibri"/>
      <b val="1"/>
      <sz val="10"/>
    </font>
    <font>
      <name val="Calibri"/>
      <sz val="10"/>
    </font>
    <font>
      <name val="Calibri"/>
      <i val="1"/>
      <sz val="9"/>
    </font>
    <font>
      <name val="Calibri"/>
      <i val="1"/>
      <color rgb="00595959"/>
      <sz val="9"/>
    </font>
    <font>
      <name val="Calibri"/>
      <color rgb="00404040"/>
      <sz val="9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FF2CC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EBF3FB"/>
      </patternFill>
    </fill>
    <fill>
      <patternFill patternType="solid">
        <fgColor rgb="00404040"/>
      </patternFill>
    </fill>
    <fill>
      <patternFill patternType="solid">
        <fgColor rgb="00EDEDED"/>
      </patternFill>
    </fill>
    <fill>
      <patternFill patternType="solid">
        <fgColor rgb="00F8F8F8"/>
      </patternFill>
    </fill>
  </fills>
  <borders count="3">
    <border>
      <left/>
      <right/>
      <top/>
      <bottom/>
      <diagonal/>
    </border>
    <border>
      <left/>
      <right/>
      <top/>
      <bottom style="thin"/>
    </border>
    <border>
      <left/>
      <right/>
      <top/>
      <bottom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center" vertical="center"/>
    </xf>
    <xf numFmtId="3" fontId="0" fillId="5" borderId="2" applyAlignment="1" pivotButton="0" quotePrefix="0" xfId="0">
      <alignment horizontal="right" vertical="center"/>
    </xf>
    <xf numFmtId="164" fontId="0" fillId="5" borderId="2" applyAlignment="1" pivotButton="0" quotePrefix="0" xfId="0">
      <alignment horizontal="right" vertical="center"/>
    </xf>
    <xf numFmtId="0" fontId="5" fillId="6" borderId="2" applyAlignment="1" pivotButton="0" quotePrefix="0" xfId="0">
      <alignment horizontal="left" vertical="center"/>
    </xf>
    <xf numFmtId="0" fontId="0" fillId="6" borderId="2" applyAlignment="1" pivotButton="0" quotePrefix="0" xfId="0">
      <alignment horizontal="center" vertical="center"/>
    </xf>
    <xf numFmtId="3" fontId="0" fillId="6" borderId="2" applyAlignment="1" pivotButton="0" quotePrefix="0" xfId="0">
      <alignment horizontal="right" vertical="center"/>
    </xf>
    <xf numFmtId="164" fontId="0" fillId="6" borderId="2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3" fontId="0" fillId="6" borderId="1" applyAlignment="1" pivotButton="0" quotePrefix="0" xfId="0">
      <alignment horizontal="right" vertical="center"/>
    </xf>
    <xf numFmtId="164" fontId="0" fillId="6" borderId="1" applyAlignment="1" pivotButton="0" quotePrefix="0" xfId="0">
      <alignment horizontal="right" vertical="center"/>
    </xf>
    <xf numFmtId="0" fontId="6" fillId="7" borderId="2" applyAlignment="1" pivotButton="0" quotePrefix="0" xfId="0">
      <alignment horizontal="left" vertical="center"/>
    </xf>
    <xf numFmtId="0" fontId="0" fillId="7" borderId="0" pivotButton="0" quotePrefix="0" xfId="0"/>
    <xf numFmtId="3" fontId="7" fillId="7" borderId="2" applyAlignment="1" pivotButton="0" quotePrefix="0" xfId="0">
      <alignment horizontal="right" vertical="center"/>
    </xf>
    <xf numFmtId="164" fontId="7" fillId="7" borderId="2" applyAlignment="1" pivotButton="0" quotePrefix="0" xfId="0">
      <alignment horizontal="right" vertical="center"/>
    </xf>
    <xf numFmtId="0" fontId="6" fillId="7" borderId="1" applyAlignment="1" pivotButton="0" quotePrefix="0" xfId="0">
      <alignment horizontal="left" vertical="center"/>
    </xf>
    <xf numFmtId="3" fontId="7" fillId="7" borderId="1" applyAlignment="1" pivotButton="0" quotePrefix="0" xfId="0">
      <alignment horizontal="right" vertical="center"/>
    </xf>
    <xf numFmtId="164" fontId="7" fillId="7" borderId="1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3" fontId="4" fillId="5" borderId="2" applyAlignment="1" pivotButton="0" quotePrefix="0" xfId="0">
      <alignment horizontal="right" vertical="center"/>
    </xf>
    <xf numFmtId="3" fontId="4" fillId="8" borderId="2" applyAlignment="1" pivotButton="0" quotePrefix="0" xfId="0">
      <alignment horizontal="right" vertical="center"/>
    </xf>
    <xf numFmtId="166" fontId="4" fillId="5" borderId="2" applyAlignment="1" pivotButton="0" quotePrefix="0" xfId="0">
      <alignment horizontal="right" vertical="center"/>
    </xf>
    <xf numFmtId="164" fontId="4" fillId="5" borderId="2" applyAlignment="1" pivotButton="0" quotePrefix="0" xfId="0">
      <alignment horizontal="right" vertical="center"/>
    </xf>
    <xf numFmtId="0" fontId="5" fillId="6" borderId="2" applyAlignment="1" pivotButton="0" quotePrefix="0" xfId="0">
      <alignment horizontal="center" vertical="center"/>
    </xf>
    <xf numFmtId="3" fontId="5" fillId="6" borderId="2" applyAlignment="1" pivotButton="0" quotePrefix="0" xfId="0">
      <alignment horizontal="right" vertical="center"/>
    </xf>
    <xf numFmtId="3" fontId="5" fillId="8" borderId="2" applyAlignment="1" pivotButton="0" quotePrefix="0" xfId="0">
      <alignment horizontal="right" vertical="center"/>
    </xf>
    <xf numFmtId="166" fontId="5" fillId="6" borderId="2" applyAlignment="1" pivotButton="0" quotePrefix="0" xfId="0">
      <alignment horizontal="right" vertical="center"/>
    </xf>
    <xf numFmtId="164" fontId="5" fillId="6" borderId="2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3" fontId="5" fillId="6" borderId="1" applyAlignment="1" pivotButton="0" quotePrefix="0" xfId="0">
      <alignment horizontal="right" vertical="center"/>
    </xf>
    <xf numFmtId="3" fontId="5" fillId="8" borderId="1" applyAlignment="1" pivotButton="0" quotePrefix="0" xfId="0">
      <alignment horizontal="right" vertical="center"/>
    </xf>
    <xf numFmtId="166" fontId="5" fillId="6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right" vertical="center"/>
    </xf>
    <xf numFmtId="166" fontId="7" fillId="7" borderId="2" applyAlignment="1" pivotButton="0" quotePrefix="0" xfId="0">
      <alignment horizontal="right" vertical="center"/>
    </xf>
    <xf numFmtId="166" fontId="7" fillId="7" borderId="1" applyAlignment="1" pivotButton="0" quotePrefix="0" xfId="0">
      <alignment horizontal="right" vertical="center"/>
    </xf>
    <xf numFmtId="0" fontId="1" fillId="9" borderId="0" applyAlignment="1" pivotButton="0" quotePrefix="0" xfId="0">
      <alignment horizontal="left" vertical="center"/>
    </xf>
    <xf numFmtId="0" fontId="8" fillId="10" borderId="0" applyAlignment="1" pivotButton="0" quotePrefix="0" xfId="0">
      <alignment horizontal="left" vertical="center"/>
    </xf>
    <xf numFmtId="0" fontId="8" fillId="11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4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0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  <col width="12" customWidth="1" min="10" max="10"/>
    <col width="11" customWidth="1" min="11" max="11"/>
    <col width="11" customWidth="1" min="12" max="12"/>
  </cols>
  <sheetData>
    <row r="1" ht="22" customHeight="1">
      <c r="A1" s="1" t="inlineStr">
        <is>
          <t>INTERNET / MEGA-CAP TECHNOLOGY — COMPARABLE COMPANY ANALYSIS</t>
        </is>
      </c>
    </row>
    <row r="2" ht="16" customHeight="1">
      <c r="A2" s="2" t="inlineStr">
        <is>
          <t>Alphabet (GOOGL)  •  Meta (META)  •  Microsoft (MSFT)  •  Amazon (AMZN)  •  Apple (AAPL)  •  Netflix (NFLX)</t>
        </is>
      </c>
    </row>
    <row r="3" ht="14" customHeight="1">
      <c r="A3" s="3" t="inlineStr">
        <is>
          <t>As of May 09, 2026  |  LTM / FY2025E  |  All figures in USD Millions (except per-share and ratio data)</t>
        </is>
      </c>
    </row>
    <row r="5" ht="18" customHeight="1">
      <c r="A5" s="4" t="inlineStr">
        <is>
          <t>OPERATING STATISTICS &amp; FINANCIAL METRICS</t>
        </is>
      </c>
    </row>
    <row r="6" ht="30" customHeight="1">
      <c r="A6" s="5" t="inlineStr">
        <is>
          <t>Company</t>
        </is>
      </c>
      <c r="B6" s="5" t="inlineStr">
        <is>
          <t>Ticker</t>
        </is>
      </c>
      <c r="C6" s="5" t="inlineStr">
        <is>
          <t>Revenue
(LTM, $M)</t>
        </is>
      </c>
      <c r="D6" s="5" t="inlineStr">
        <is>
          <t>YoY
Growth</t>
        </is>
      </c>
      <c r="E6" s="5" t="inlineStr">
        <is>
          <t>Gross
Margin</t>
        </is>
      </c>
      <c r="F6" s="5" t="inlineStr">
        <is>
          <t>EBITDA
(LTM, $M)</t>
        </is>
      </c>
      <c r="G6" s="5" t="inlineStr">
        <is>
          <t>EBITDA
Margin</t>
        </is>
      </c>
      <c r="H6" s="5" t="inlineStr">
        <is>
          <t>FCF
(LTM, $M)</t>
        </is>
      </c>
      <c r="I6" s="5" t="inlineStr">
        <is>
          <t>FCF
Margin</t>
        </is>
      </c>
      <c r="J6" s="5" t="inlineStr">
        <is>
          <t>R&amp;D
% Rev</t>
        </is>
      </c>
      <c r="K6" s="5" t="inlineStr">
        <is>
          <t>Capex
% Rev</t>
        </is>
      </c>
      <c r="L6" s="5" t="inlineStr">
        <is>
          <t>Net Cash
($M)</t>
        </is>
      </c>
    </row>
    <row r="7" ht="15" customHeight="1">
      <c r="A7" s="6" t="inlineStr">
        <is>
          <t>Alphabet</t>
        </is>
      </c>
      <c r="B7" s="7" t="inlineStr">
        <is>
          <t>GOOGL</t>
        </is>
      </c>
      <c r="C7" s="8" t="n">
        <v>359000</v>
      </c>
      <c r="D7" s="9" t="n">
        <v>0.132</v>
      </c>
      <c r="E7" s="9" t="n">
        <v>0.578</v>
      </c>
      <c r="F7" s="8" t="n">
        <v>114000</v>
      </c>
      <c r="G7" s="9" t="n">
        <v>0.317</v>
      </c>
      <c r="H7" s="8" t="n">
        <v>72000</v>
      </c>
      <c r="I7" s="9" t="n">
        <v>0.201</v>
      </c>
      <c r="J7" s="9" t="n">
        <v>0.155</v>
      </c>
      <c r="K7" s="9" t="n">
        <v>0.06900000000000001</v>
      </c>
      <c r="L7" s="8" t="n">
        <v>100000</v>
      </c>
    </row>
    <row r="8" ht="15" customHeight="1">
      <c r="A8" s="10" t="inlineStr">
        <is>
          <t>Meta</t>
        </is>
      </c>
      <c r="B8" s="11" t="inlineStr">
        <is>
          <t>META</t>
        </is>
      </c>
      <c r="C8" s="12" t="n">
        <v>164500</v>
      </c>
      <c r="D8" s="13" t="n">
        <v>0.19</v>
      </c>
      <c r="E8" s="13" t="n">
        <v>0.8169999999999999</v>
      </c>
      <c r="F8" s="12" t="n">
        <v>70000</v>
      </c>
      <c r="G8" s="13" t="n">
        <v>0.426</v>
      </c>
      <c r="H8" s="12" t="n">
        <v>52000</v>
      </c>
      <c r="I8" s="13" t="n">
        <v>0.316</v>
      </c>
      <c r="J8" s="13" t="n">
        <v>0.269</v>
      </c>
      <c r="K8" s="13" t="n">
        <v>0.043</v>
      </c>
      <c r="L8" s="12" t="n">
        <v>50000</v>
      </c>
    </row>
    <row r="9" ht="15" customHeight="1">
      <c r="A9" s="10" t="inlineStr">
        <is>
          <t>Microsoft</t>
        </is>
      </c>
      <c r="B9" s="11" t="inlineStr">
        <is>
          <t>MSFT</t>
        </is>
      </c>
      <c r="C9" s="12" t="n">
        <v>261000</v>
      </c>
      <c r="D9" s="13" t="n">
        <v>0.152</v>
      </c>
      <c r="E9" s="13" t="n">
        <v>0.698</v>
      </c>
      <c r="F9" s="12" t="n">
        <v>125000</v>
      </c>
      <c r="G9" s="13" t="n">
        <v>0.479</v>
      </c>
      <c r="H9" s="12" t="n">
        <v>74000</v>
      </c>
      <c r="I9" s="13" t="n">
        <v>0.284</v>
      </c>
      <c r="J9" s="13" t="n">
        <v>0.13</v>
      </c>
      <c r="K9" s="13" t="n">
        <v>0.056</v>
      </c>
      <c r="L9" s="12" t="n">
        <v>30000</v>
      </c>
    </row>
    <row r="10" ht="15" customHeight="1">
      <c r="A10" s="10" t="inlineStr">
        <is>
          <t>Amazon</t>
        </is>
      </c>
      <c r="B10" s="11" t="inlineStr">
        <is>
          <t>AMZN</t>
        </is>
      </c>
      <c r="C10" s="12" t="n">
        <v>638000</v>
      </c>
      <c r="D10" s="13" t="n">
        <v>0.109</v>
      </c>
      <c r="E10" s="13" t="n">
        <v>0.497</v>
      </c>
      <c r="F10" s="12" t="n">
        <v>125000</v>
      </c>
      <c r="G10" s="13" t="n">
        <v>0.196</v>
      </c>
      <c r="H10" s="12" t="n">
        <v>38000</v>
      </c>
      <c r="I10" s="13" t="n">
        <v>0.06</v>
      </c>
      <c r="J10" s="13" t="n">
        <v>0.154</v>
      </c>
      <c r="K10" s="13" t="n">
        <v>0.082</v>
      </c>
      <c r="L10" s="12" t="n">
        <v>25000</v>
      </c>
    </row>
    <row r="11" ht="15" customHeight="1">
      <c r="A11" s="10" t="inlineStr">
        <is>
          <t>Apple</t>
        </is>
      </c>
      <c r="B11" s="11" t="inlineStr">
        <is>
          <t>AAPL</t>
        </is>
      </c>
      <c r="C11" s="12" t="n">
        <v>400000</v>
      </c>
      <c r="D11" s="13" t="n">
        <v>0.04</v>
      </c>
      <c r="E11" s="13" t="n">
        <v>0.468</v>
      </c>
      <c r="F11" s="12" t="n">
        <v>138000</v>
      </c>
      <c r="G11" s="13" t="n">
        <v>0.345</v>
      </c>
      <c r="H11" s="12" t="n">
        <v>95000</v>
      </c>
      <c r="I11" s="13" t="n">
        <v>0.238</v>
      </c>
      <c r="J11" s="13" t="n">
        <v>0.074</v>
      </c>
      <c r="K11" s="13" t="n">
        <v>0.028</v>
      </c>
      <c r="L11" s="12" t="n">
        <v>50000</v>
      </c>
    </row>
    <row r="12" ht="15" customHeight="1">
      <c r="A12" s="14" t="inlineStr">
        <is>
          <t>Netflix</t>
        </is>
      </c>
      <c r="B12" s="15" t="inlineStr">
        <is>
          <t>NFLX</t>
        </is>
      </c>
      <c r="C12" s="16" t="n">
        <v>39900</v>
      </c>
      <c r="D12" s="17" t="n">
        <v>0.15</v>
      </c>
      <c r="E12" s="17" t="n">
        <v>0.43</v>
      </c>
      <c r="F12" s="16" t="n">
        <v>9900</v>
      </c>
      <c r="G12" s="17" t="n">
        <v>0.248</v>
      </c>
      <c r="H12" s="16" t="n">
        <v>6200</v>
      </c>
      <c r="I12" s="17" t="n">
        <v>0.155</v>
      </c>
      <c r="J12" s="17" t="n">
        <v>0</v>
      </c>
      <c r="K12" s="17" t="n">
        <v>0.005</v>
      </c>
      <c r="L12" s="16" t="n">
        <v>-5000</v>
      </c>
    </row>
    <row r="13" ht="14" customHeight="1">
      <c r="A13" s="18" t="inlineStr">
        <is>
          <t>Maximum</t>
        </is>
      </c>
      <c r="B13" s="19" t="n"/>
      <c r="C13" s="20">
        <f>MAX(C7:C12)</f>
        <v/>
      </c>
      <c r="D13" s="21">
        <f>MAX(D7:D12)</f>
        <v/>
      </c>
      <c r="E13" s="21">
        <f>MAX(E7:E12)</f>
        <v/>
      </c>
      <c r="F13" s="20">
        <f>MAX(F7:F12)</f>
        <v/>
      </c>
      <c r="G13" s="21">
        <f>MAX(G7:G12)</f>
        <v/>
      </c>
      <c r="H13" s="20">
        <f>MAX(H7:H12)</f>
        <v/>
      </c>
      <c r="I13" s="21">
        <f>MAX(I7:I12)</f>
        <v/>
      </c>
      <c r="J13" s="21">
        <f>MAX(J7:J12)</f>
        <v/>
      </c>
      <c r="K13" s="21">
        <f>MAX(K7:K12)</f>
        <v/>
      </c>
      <c r="L13" s="20">
        <f>MAX(L7:L12)</f>
        <v/>
      </c>
    </row>
    <row r="14" ht="14" customHeight="1">
      <c r="A14" s="18" t="inlineStr">
        <is>
          <t>75th Percentile</t>
        </is>
      </c>
      <c r="B14" s="19" t="n"/>
      <c r="C14" s="20">
        <f>PERCENTILE(C7:C12,0.75)</f>
        <v/>
      </c>
      <c r="D14" s="21">
        <f>PERCENTILE(D7:D12,0.75)</f>
        <v/>
      </c>
      <c r="E14" s="21">
        <f>PERCENTILE(E7:E12,0.75)</f>
        <v/>
      </c>
      <c r="F14" s="20">
        <f>PERCENTILE(F7:F12,0.75)</f>
        <v/>
      </c>
      <c r="G14" s="21">
        <f>PERCENTILE(G7:G12,0.75)</f>
        <v/>
      </c>
      <c r="H14" s="20">
        <f>PERCENTILE(H7:H12,0.75)</f>
        <v/>
      </c>
      <c r="I14" s="21">
        <f>PERCENTILE(I7:I12,0.75)</f>
        <v/>
      </c>
      <c r="J14" s="21">
        <f>PERCENTILE(J7:J12,0.75)</f>
        <v/>
      </c>
      <c r="K14" s="21">
        <f>PERCENTILE(K7:K12,0.75)</f>
        <v/>
      </c>
      <c r="L14" s="20">
        <f>PERCENTILE(L7:L12,0.75)</f>
        <v/>
      </c>
    </row>
    <row r="15" ht="14" customHeight="1">
      <c r="A15" s="18" t="inlineStr">
        <is>
          <t>Median</t>
        </is>
      </c>
      <c r="B15" s="19" t="n"/>
      <c r="C15" s="20">
        <f>MEDIAN(C7:C12)</f>
        <v/>
      </c>
      <c r="D15" s="21">
        <f>MEDIAN(D7:D12)</f>
        <v/>
      </c>
      <c r="E15" s="21">
        <f>MEDIAN(E7:E12)</f>
        <v/>
      </c>
      <c r="F15" s="20">
        <f>MEDIAN(F7:F12)</f>
        <v/>
      </c>
      <c r="G15" s="21">
        <f>MEDIAN(G7:G12)</f>
        <v/>
      </c>
      <c r="H15" s="20">
        <f>MEDIAN(H7:H12)</f>
        <v/>
      </c>
      <c r="I15" s="21">
        <f>MEDIAN(I7:I12)</f>
        <v/>
      </c>
      <c r="J15" s="21">
        <f>MEDIAN(J7:J12)</f>
        <v/>
      </c>
      <c r="K15" s="21">
        <f>MEDIAN(K7:K12)</f>
        <v/>
      </c>
      <c r="L15" s="20">
        <f>MEDIAN(L7:L12)</f>
        <v/>
      </c>
    </row>
    <row r="16" ht="14" customHeight="1">
      <c r="A16" s="18" t="inlineStr">
        <is>
          <t>25th Percentile</t>
        </is>
      </c>
      <c r="B16" s="19" t="n"/>
      <c r="C16" s="20">
        <f>PERCENTILE(C7:C12,0.25)</f>
        <v/>
      </c>
      <c r="D16" s="21">
        <f>PERCENTILE(D7:D12,0.25)</f>
        <v/>
      </c>
      <c r="E16" s="21">
        <f>PERCENTILE(E7:E12,0.25)</f>
        <v/>
      </c>
      <c r="F16" s="20">
        <f>PERCENTILE(F7:F12,0.25)</f>
        <v/>
      </c>
      <c r="G16" s="21">
        <f>PERCENTILE(G7:G12,0.25)</f>
        <v/>
      </c>
      <c r="H16" s="20">
        <f>PERCENTILE(H7:H12,0.25)</f>
        <v/>
      </c>
      <c r="I16" s="21">
        <f>PERCENTILE(I7:I12,0.25)</f>
        <v/>
      </c>
      <c r="J16" s="21">
        <f>PERCENTILE(J7:J12,0.25)</f>
        <v/>
      </c>
      <c r="K16" s="21">
        <f>PERCENTILE(K7:K12,0.25)</f>
        <v/>
      </c>
      <c r="L16" s="20">
        <f>PERCENTILE(L7:L12,0.25)</f>
        <v/>
      </c>
    </row>
    <row r="17" ht="14" customHeight="1">
      <c r="A17" s="22" t="inlineStr">
        <is>
          <t>Minimum</t>
        </is>
      </c>
      <c r="B17" s="19" t="n"/>
      <c r="C17" s="23">
        <f>MIN(C7:C12)</f>
        <v/>
      </c>
      <c r="D17" s="24">
        <f>MIN(D7:D12)</f>
        <v/>
      </c>
      <c r="E17" s="24">
        <f>MIN(E7:E12)</f>
        <v/>
      </c>
      <c r="F17" s="23">
        <f>MIN(F7:F12)</f>
        <v/>
      </c>
      <c r="G17" s="24">
        <f>MIN(G7:G12)</f>
        <v/>
      </c>
      <c r="H17" s="23">
        <f>MIN(H7:H12)</f>
        <v/>
      </c>
      <c r="I17" s="24">
        <f>MIN(I7:I12)</f>
        <v/>
      </c>
      <c r="J17" s="24">
        <f>MIN(J7:J12)</f>
        <v/>
      </c>
      <c r="K17" s="24">
        <f>MIN(K7:K12)</f>
        <v/>
      </c>
      <c r="L17" s="23">
        <f>MIN(L7:L12)</f>
        <v/>
      </c>
    </row>
    <row r="18" ht="8" customHeight="1"/>
    <row r="19" ht="18" customHeight="1">
      <c r="A19" s="4" t="inlineStr">
        <is>
          <t>VALUATION MULTIPLES</t>
        </is>
      </c>
    </row>
    <row r="20" ht="30" customHeight="1">
      <c r="A20" s="5" t="inlineStr">
        <is>
          <t>Company</t>
        </is>
      </c>
      <c r="B20" s="5" t="inlineStr">
        <is>
          <t>Ticker</t>
        </is>
      </c>
      <c r="C20" s="5" t="inlineStr">
        <is>
          <t>Mkt Cap
($M)</t>
        </is>
      </c>
      <c r="D20" s="5" t="inlineStr">
        <is>
          <t>Net Debt
($M)</t>
        </is>
      </c>
      <c r="E20" s="5" t="inlineStr">
        <is>
          <t>Enterprise
Value ($M)</t>
        </is>
      </c>
      <c r="F20" s="5" t="inlineStr">
        <is>
          <t>EV /
Revenue</t>
        </is>
      </c>
      <c r="G20" s="5" t="inlineStr">
        <is>
          <t>EV /
EBITDA</t>
        </is>
      </c>
      <c r="H20" s="5" t="inlineStr">
        <is>
          <t>P / E
(NTM)</t>
        </is>
      </c>
      <c r="I20" s="5" t="inlineStr">
        <is>
          <t>FCF
Yield</t>
        </is>
      </c>
      <c r="J20" s="5" t="inlineStr">
        <is>
          <t>PEG
Ratio</t>
        </is>
      </c>
      <c r="K20" s="5" t="inlineStr">
        <is>
          <t>Div
Yield</t>
        </is>
      </c>
      <c r="L20" s="5" t="inlineStr">
        <is>
          <t>Price /
FCF</t>
        </is>
      </c>
    </row>
    <row r="21" ht="15" customHeight="1">
      <c r="A21" s="6" t="inlineStr">
        <is>
          <t>Alphabet</t>
        </is>
      </c>
      <c r="B21" s="25" t="inlineStr">
        <is>
          <t>GOOGL</t>
        </is>
      </c>
      <c r="C21" s="26" t="n">
        <v>2100000</v>
      </c>
      <c r="D21" s="26" t="n">
        <v>-100000</v>
      </c>
      <c r="E21" s="27">
        <f>C21+D21</f>
        <v/>
      </c>
      <c r="F21" s="28" t="n">
        <v>5.57</v>
      </c>
      <c r="G21" s="28" t="n">
        <v>17.54</v>
      </c>
      <c r="H21" s="28" t="n">
        <v>20.2</v>
      </c>
      <c r="I21" s="29" t="n">
        <v>0.034</v>
      </c>
      <c r="J21" s="28" t="n">
        <v>1.53</v>
      </c>
      <c r="K21" s="29" t="n">
        <v>0.005</v>
      </c>
      <c r="L21" s="28" t="n">
        <v>29.2</v>
      </c>
    </row>
    <row r="22" ht="15" customHeight="1">
      <c r="A22" s="10" t="inlineStr">
        <is>
          <t>Meta</t>
        </is>
      </c>
      <c r="B22" s="30" t="inlineStr">
        <is>
          <t>META</t>
        </is>
      </c>
      <c r="C22" s="31" t="n">
        <v>1450000</v>
      </c>
      <c r="D22" s="31" t="n">
        <v>-50000</v>
      </c>
      <c r="E22" s="32">
        <f>C22+D22</f>
        <v/>
      </c>
      <c r="F22" s="33" t="n">
        <v>8.48</v>
      </c>
      <c r="G22" s="33" t="n">
        <v>19.86</v>
      </c>
      <c r="H22" s="33" t="n">
        <v>23.8</v>
      </c>
      <c r="I22" s="34" t="n">
        <v>0.036</v>
      </c>
      <c r="J22" s="33" t="n">
        <v>1.25</v>
      </c>
      <c r="K22" s="34" t="n">
        <v>0.004</v>
      </c>
      <c r="L22" s="33" t="n">
        <v>27.9</v>
      </c>
    </row>
    <row r="23" ht="15" customHeight="1">
      <c r="A23" s="10" t="inlineStr">
        <is>
          <t>Microsoft</t>
        </is>
      </c>
      <c r="B23" s="30" t="inlineStr">
        <is>
          <t>MSFT</t>
        </is>
      </c>
      <c r="C23" s="31" t="n">
        <v>3000000</v>
      </c>
      <c r="D23" s="31" t="n">
        <v>-30000</v>
      </c>
      <c r="E23" s="32">
        <f>C23+D23</f>
        <v/>
      </c>
      <c r="F23" s="33" t="n">
        <v>11.42</v>
      </c>
      <c r="G23" s="33" t="n">
        <v>23.84</v>
      </c>
      <c r="H23" s="33" t="n">
        <v>31.5</v>
      </c>
      <c r="I23" s="34" t="n">
        <v>0.025</v>
      </c>
      <c r="J23" s="33" t="n">
        <v>2.1</v>
      </c>
      <c r="K23" s="34" t="n">
        <v>0.008</v>
      </c>
      <c r="L23" s="33" t="n">
        <v>40.5</v>
      </c>
    </row>
    <row r="24" ht="15" customHeight="1">
      <c r="A24" s="10" t="inlineStr">
        <is>
          <t>Amazon</t>
        </is>
      </c>
      <c r="B24" s="30" t="inlineStr">
        <is>
          <t>AMZN</t>
        </is>
      </c>
      <c r="C24" s="31" t="n">
        <v>2300000</v>
      </c>
      <c r="D24" s="31" t="n">
        <v>-25000</v>
      </c>
      <c r="E24" s="32">
        <f>C24+D24</f>
        <v/>
      </c>
      <c r="F24" s="33" t="n">
        <v>3.55</v>
      </c>
      <c r="G24" s="33" t="n">
        <v>18.2</v>
      </c>
      <c r="H24" s="33" t="n">
        <v>37.8</v>
      </c>
      <c r="I24" s="34" t="n">
        <v>0.017</v>
      </c>
      <c r="J24" s="33" t="n">
        <v>3.45</v>
      </c>
      <c r="K24" s="34" t="n">
        <v>0</v>
      </c>
      <c r="L24" s="33" t="n">
        <v>60.5</v>
      </c>
    </row>
    <row r="25" ht="15" customHeight="1">
      <c r="A25" s="10" t="inlineStr">
        <is>
          <t>Apple</t>
        </is>
      </c>
      <c r="B25" s="30" t="inlineStr">
        <is>
          <t>AAPL</t>
        </is>
      </c>
      <c r="C25" s="31" t="n">
        <v>3400000</v>
      </c>
      <c r="D25" s="31" t="n">
        <v>-50000</v>
      </c>
      <c r="E25" s="32">
        <f>C25+D25</f>
        <v/>
      </c>
      <c r="F25" s="33" t="n">
        <v>8.380000000000001</v>
      </c>
      <c r="G25" s="33" t="n">
        <v>24.28</v>
      </c>
      <c r="H25" s="33" t="n">
        <v>29.5</v>
      </c>
      <c r="I25" s="34" t="n">
        <v>0.028</v>
      </c>
      <c r="J25" s="33" t="n">
        <v>7.38</v>
      </c>
      <c r="K25" s="34" t="n">
        <v>0.005</v>
      </c>
      <c r="L25" s="33" t="n">
        <v>35.8</v>
      </c>
    </row>
    <row r="26" ht="15" customHeight="1">
      <c r="A26" s="14" t="inlineStr">
        <is>
          <t>Netflix</t>
        </is>
      </c>
      <c r="B26" s="35" t="inlineStr">
        <is>
          <t>NFLX</t>
        </is>
      </c>
      <c r="C26" s="36" t="n">
        <v>385000</v>
      </c>
      <c r="D26" s="36" t="n">
        <v>5000</v>
      </c>
      <c r="E26" s="37">
        <f>C26+D26</f>
        <v/>
      </c>
      <c r="F26" s="38" t="n">
        <v>9.529999999999999</v>
      </c>
      <c r="G26" s="38" t="n">
        <v>38.18</v>
      </c>
      <c r="H26" s="38" t="n">
        <v>34.5</v>
      </c>
      <c r="I26" s="39" t="n">
        <v>0.016</v>
      </c>
      <c r="J26" s="38" t="n">
        <v>2.3</v>
      </c>
      <c r="K26" s="39" t="n">
        <v>0</v>
      </c>
      <c r="L26" s="38" t="n">
        <v>62.1</v>
      </c>
    </row>
    <row r="27" ht="14" customHeight="1">
      <c r="A27" s="18" t="inlineStr">
        <is>
          <t>Maximum</t>
        </is>
      </c>
      <c r="B27" s="19" t="n"/>
      <c r="C27" s="20">
        <f>MAX(C21:C26)</f>
        <v/>
      </c>
      <c r="D27" s="20">
        <f>MAX(D21:D26)</f>
        <v/>
      </c>
      <c r="E27" s="20">
        <f>MAX(E21:E26)</f>
        <v/>
      </c>
      <c r="F27" s="40">
        <f>MAX(F21:F26)</f>
        <v/>
      </c>
      <c r="G27" s="40">
        <f>MAX(G21:G26)</f>
        <v/>
      </c>
      <c r="H27" s="40">
        <f>MAX(H21:H26)</f>
        <v/>
      </c>
      <c r="I27" s="21">
        <f>MAX(I21:I26)</f>
        <v/>
      </c>
      <c r="J27" s="40">
        <f>MAX(J21:J26)</f>
        <v/>
      </c>
      <c r="K27" s="21">
        <f>MAX(K21:K26)</f>
        <v/>
      </c>
      <c r="L27" s="40">
        <f>MAX(L21:L26)</f>
        <v/>
      </c>
    </row>
    <row r="28" ht="14" customHeight="1">
      <c r="A28" s="18" t="inlineStr">
        <is>
          <t>75th Percentile</t>
        </is>
      </c>
      <c r="B28" s="19" t="n"/>
      <c r="C28" s="20">
        <f>PERCENTILE(C21:C26,0.75)</f>
        <v/>
      </c>
      <c r="D28" s="20">
        <f>PERCENTILE(D21:D26,0.75)</f>
        <v/>
      </c>
      <c r="E28" s="20">
        <f>PERCENTILE(E21:E26,0.75)</f>
        <v/>
      </c>
      <c r="F28" s="40">
        <f>PERCENTILE(F21:F26,0.75)</f>
        <v/>
      </c>
      <c r="G28" s="40">
        <f>PERCENTILE(G21:G26,0.75)</f>
        <v/>
      </c>
      <c r="H28" s="40">
        <f>PERCENTILE(H21:H26,0.75)</f>
        <v/>
      </c>
      <c r="I28" s="21">
        <f>PERCENTILE(I21:I26,0.75)</f>
        <v/>
      </c>
      <c r="J28" s="40">
        <f>PERCENTILE(J21:J26,0.75)</f>
        <v/>
      </c>
      <c r="K28" s="21">
        <f>PERCENTILE(K21:K26,0.75)</f>
        <v/>
      </c>
      <c r="L28" s="40">
        <f>PERCENTILE(L21:L26,0.75)</f>
        <v/>
      </c>
    </row>
    <row r="29" ht="14" customHeight="1">
      <c r="A29" s="18" t="inlineStr">
        <is>
          <t>Median</t>
        </is>
      </c>
      <c r="B29" s="19" t="n"/>
      <c r="C29" s="20">
        <f>MEDIAN(C21:C26)</f>
        <v/>
      </c>
      <c r="D29" s="20">
        <f>MEDIAN(D21:D26)</f>
        <v/>
      </c>
      <c r="E29" s="20">
        <f>MEDIAN(E21:E26)</f>
        <v/>
      </c>
      <c r="F29" s="40">
        <f>MEDIAN(F21:F26)</f>
        <v/>
      </c>
      <c r="G29" s="40">
        <f>MEDIAN(G21:G26)</f>
        <v/>
      </c>
      <c r="H29" s="40">
        <f>MEDIAN(H21:H26)</f>
        <v/>
      </c>
      <c r="I29" s="21">
        <f>MEDIAN(I21:I26)</f>
        <v/>
      </c>
      <c r="J29" s="40">
        <f>MEDIAN(J21:J26)</f>
        <v/>
      </c>
      <c r="K29" s="21">
        <f>MEDIAN(K21:K26)</f>
        <v/>
      </c>
      <c r="L29" s="40">
        <f>MEDIAN(L21:L26)</f>
        <v/>
      </c>
    </row>
    <row r="30" ht="14" customHeight="1">
      <c r="A30" s="18" t="inlineStr">
        <is>
          <t>25th Percentile</t>
        </is>
      </c>
      <c r="B30" s="19" t="n"/>
      <c r="C30" s="20">
        <f>PERCENTILE(C21:C26,0.25)</f>
        <v/>
      </c>
      <c r="D30" s="20">
        <f>PERCENTILE(D21:D26,0.25)</f>
        <v/>
      </c>
      <c r="E30" s="20">
        <f>PERCENTILE(E21:E26,0.25)</f>
        <v/>
      </c>
      <c r="F30" s="40">
        <f>PERCENTILE(F21:F26,0.25)</f>
        <v/>
      </c>
      <c r="G30" s="40">
        <f>PERCENTILE(G21:G26,0.25)</f>
        <v/>
      </c>
      <c r="H30" s="40">
        <f>PERCENTILE(H21:H26,0.25)</f>
        <v/>
      </c>
      <c r="I30" s="21">
        <f>PERCENTILE(I21:I26,0.25)</f>
        <v/>
      </c>
      <c r="J30" s="40">
        <f>PERCENTILE(J21:J26,0.25)</f>
        <v/>
      </c>
      <c r="K30" s="21">
        <f>PERCENTILE(K21:K26,0.25)</f>
        <v/>
      </c>
      <c r="L30" s="40">
        <f>PERCENTILE(L21:L26,0.25)</f>
        <v/>
      </c>
    </row>
    <row r="31" ht="14" customHeight="1">
      <c r="A31" s="22" t="inlineStr">
        <is>
          <t>Minimum</t>
        </is>
      </c>
      <c r="B31" s="19" t="n"/>
      <c r="C31" s="23">
        <f>MIN(C21:C26)</f>
        <v/>
      </c>
      <c r="D31" s="23">
        <f>MIN(D21:D26)</f>
        <v/>
      </c>
      <c r="E31" s="23">
        <f>MIN(E21:E26)</f>
        <v/>
      </c>
      <c r="F31" s="41">
        <f>MIN(F21:F26)</f>
        <v/>
      </c>
      <c r="G31" s="41">
        <f>MIN(G21:G26)</f>
        <v/>
      </c>
      <c r="H31" s="41">
        <f>MIN(H21:H26)</f>
        <v/>
      </c>
      <c r="I31" s="24">
        <f>MIN(I21:I26)</f>
        <v/>
      </c>
      <c r="J31" s="41">
        <f>MIN(J21:J26)</f>
        <v/>
      </c>
      <c r="K31" s="24">
        <f>MIN(K21:K26)</f>
        <v/>
      </c>
      <c r="L31" s="41">
        <f>MIN(L21:L26)</f>
        <v/>
      </c>
    </row>
    <row r="34" ht="16" customHeight="1">
      <c r="A34" s="42" t="inlineStr">
        <is>
          <t>NOTES &amp; METHODOLOGY</t>
        </is>
      </c>
    </row>
    <row r="35" ht="13" customHeight="1">
      <c r="A35" s="43" t="inlineStr">
        <is>
          <t xml:space="preserve">  1.  Data source: Company filings (10-K / 20-F), earnings releases, and FactSet estimates as of May 2026.</t>
        </is>
      </c>
    </row>
    <row r="36" ht="13" customHeight="1">
      <c r="A36" s="44" t="inlineStr">
        <is>
          <t xml:space="preserve">  2.  LTM = Last Twelve Months ending closest reported quarter. Revenue, EBITDA, and FCF are on an LTM basis.</t>
        </is>
      </c>
    </row>
    <row r="37" ht="13" customHeight="1">
      <c r="A37" s="43" t="inlineStr">
        <is>
          <t xml:space="preserve">  3.  EBITDA is adjusted for stock-based compensation and one-time items where disclosed by management.</t>
        </is>
      </c>
    </row>
    <row r="38" ht="13" customHeight="1">
      <c r="A38" s="44" t="inlineStr">
        <is>
          <t xml:space="preserve">  4.  FCF = Operating Cash Flow less Capital Expenditures. FCF Yield = LTM FCF / Market Capitalization.</t>
        </is>
      </c>
    </row>
    <row r="39" ht="13" customHeight="1">
      <c r="A39" s="43" t="inlineStr">
        <is>
          <t xml:space="preserve">  5.  Enterprise Value = Market Capitalization + Net Debt (Net Debt = Total Debt – Cash &amp; Equivalents).</t>
        </is>
      </c>
    </row>
    <row r="40" ht="13" customHeight="1">
      <c r="A40" s="44" t="inlineStr">
        <is>
          <t xml:space="preserve">  6.  Net Debt is negative for companies with net cash positions (Alphabet, Meta, Microsoft, Apple).</t>
        </is>
      </c>
    </row>
    <row r="41" ht="13" customHeight="1">
      <c r="A41" s="43" t="inlineStr">
        <is>
          <t xml:space="preserve">  7.  P/E (NTM) is based on consensus next-twelve-months EPS estimates from sell-side research.</t>
        </is>
      </c>
    </row>
    <row r="42" ht="13" customHeight="1">
      <c r="A42" s="44" t="inlineStr">
        <is>
          <t xml:space="preserve">  8.  Netflix R&amp;D shown as 0.0% as content spend is classified as an operating cost, not R&amp;D.</t>
        </is>
      </c>
    </row>
    <row r="43" ht="13" customHeight="1">
      <c r="A43" s="43" t="inlineStr">
        <is>
          <t xml:space="preserve">  9.  Yellow highlight = subject company (Alphabet / GOOGL). Blue fill = hardcoded inputs. White = formula cells.</t>
        </is>
      </c>
    </row>
    <row r="44" ht="13" customHeight="1">
      <c r="A44" s="44" t="inlineStr">
        <is>
          <t xml:space="preserve">  10.  This analysis is for informational purposes only and does not constitute investment advice.</t>
        </is>
      </c>
    </row>
  </sheetData>
  <mergeCells count="17">
    <mergeCell ref="A38:L38"/>
    <mergeCell ref="A2:L2"/>
    <mergeCell ref="A42:L42"/>
    <mergeCell ref="A43:L43"/>
    <mergeCell ref="A41:L41"/>
    <mergeCell ref="A19:L19"/>
    <mergeCell ref="A1:L1"/>
    <mergeCell ref="A7"/>
    <mergeCell ref="A5:L5"/>
    <mergeCell ref="A36:L36"/>
    <mergeCell ref="A37:L37"/>
    <mergeCell ref="A44:L44"/>
    <mergeCell ref="A40:L40"/>
    <mergeCell ref="A3:L3"/>
    <mergeCell ref="A39:L39"/>
    <mergeCell ref="A34:L34"/>
    <mergeCell ref="A35:L35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2026-05-09T16:01:00Z</dcterms:created>
  <dcterms:modified xmlns:dcterms="http://purl.org/dc/terms/" xmlns:xsi="http://www.w3.org/2001/XMLSchema-instance" xsi:type="dcterms:W3CDTF">2026-05-09T16:01:00Z</dcterms:modified>
</cp:coreProperties>
</file>